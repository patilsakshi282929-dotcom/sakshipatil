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5b81843de48f23/Documents/"/>
    </mc:Choice>
  </mc:AlternateContent>
  <xr:revisionPtr revIDLastSave="1" documentId="8_{46C79F08-A384-4521-8B01-C9F2D47A4446}" xr6:coauthVersionLast="47" xr6:coauthVersionMax="47" xr10:uidLastSave="{C3AF26F4-247F-4423-830C-B5F99F45D33C}"/>
  <bookViews>
    <workbookView xWindow="-120" yWindow="-120" windowWidth="29040" windowHeight="15720" xr2:uid="{5641F949-669C-4F33-A0ED-3E87BF5587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4" i="1" l="1"/>
  <c r="I14" i="1"/>
  <c r="J14" i="1"/>
  <c r="J5" i="1"/>
  <c r="H5" i="1"/>
  <c r="I5" i="1" s="1"/>
  <c r="H6" i="1"/>
  <c r="J6" i="1" s="1"/>
  <c r="H7" i="1"/>
  <c r="J7" i="1" s="1"/>
  <c r="H8" i="1"/>
  <c r="J8" i="1" s="1"/>
  <c r="H9" i="1"/>
  <c r="J9" i="1" s="1"/>
  <c r="H10" i="1"/>
  <c r="J10" i="1" s="1"/>
  <c r="H11" i="1"/>
  <c r="I11" i="1" s="1"/>
  <c r="H12" i="1"/>
  <c r="J12" i="1" s="1"/>
  <c r="H13" i="1"/>
  <c r="J13" i="1" s="1"/>
  <c r="I8" i="1" l="1"/>
  <c r="I6" i="1"/>
  <c r="I9" i="1"/>
  <c r="I7" i="1"/>
  <c r="I10" i="1"/>
  <c r="J11" i="1"/>
  <c r="I13" i="1"/>
  <c r="I12" i="1"/>
</calcChain>
</file>

<file path=xl/sharedStrings.xml><?xml version="1.0" encoding="utf-8"?>
<sst xmlns="http://schemas.openxmlformats.org/spreadsheetml/2006/main" count="29" uniqueCount="24">
  <si>
    <t xml:space="preserve">DEPARMENT : COMPUTER ENGGNERING </t>
  </si>
  <si>
    <t>SEMESTER : 1</t>
  </si>
  <si>
    <t xml:space="preserve">RUSULT </t>
  </si>
  <si>
    <t>SR NO.</t>
  </si>
  <si>
    <t xml:space="preserve"> </t>
  </si>
  <si>
    <t>NAME</t>
  </si>
  <si>
    <t>Aisha</t>
  </si>
  <si>
    <t>Saniya</t>
  </si>
  <si>
    <t>Pooja</t>
  </si>
  <si>
    <t>Harshda</t>
  </si>
  <si>
    <t>Komal</t>
  </si>
  <si>
    <t>Diksha</t>
  </si>
  <si>
    <t>kKajal</t>
  </si>
  <si>
    <t>Meera</t>
  </si>
  <si>
    <t>Riya</t>
  </si>
  <si>
    <t>Neha</t>
  </si>
  <si>
    <t>ENGLISH</t>
  </si>
  <si>
    <t>CPF</t>
  </si>
  <si>
    <t>BE</t>
  </si>
  <si>
    <t>PHYSICS</t>
  </si>
  <si>
    <t>TOTAL</t>
  </si>
  <si>
    <t xml:space="preserve">AVVREGE </t>
  </si>
  <si>
    <t>%</t>
  </si>
  <si>
    <t>MATHES 
(70)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</si>
</sst>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2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2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D1507-CA9A-49BC-ADCE-969AA9E190CC}">
  <dimension ref="A1:W20"/>
  <sheetViews>
    <sheetView tabSelected="1" workbookViewId="0">
      <selection sqref="A1:L1"/>
    </sheetView>
  </sheetViews>
  <sheetFormatPr defaultRowHeight="15" x14ac:dyDescent="0.25"/>
  <cols>
    <col min="1" max="2" width="9.140625" customWidth="1"/>
    <col min="12" max="23" width="9.140625" customWidth="1"/>
  </cols>
  <sheetData>
    <row r="1" spans="1:12" s="1" customFormat="1" ht="15.75" x14ac:dyDescent="0.25">
      <c r="A1" s="13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11"/>
    </row>
    <row r="2" spans="1:12" s="3" customFormat="1" x14ac:dyDescent="0.25">
      <c r="A2" s="2" t="s">
        <v>1</v>
      </c>
      <c r="L2" s="4"/>
    </row>
    <row r="3" spans="1:12" s="3" customFormat="1" ht="15.75" thickBot="1" x14ac:dyDescent="0.3">
      <c r="A3" s="12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6"/>
    </row>
    <row r="4" spans="1:12" s="3" customFormat="1" ht="30" x14ac:dyDescent="0.25">
      <c r="A4" s="9" t="s">
        <v>3</v>
      </c>
      <c r="B4" s="9" t="s">
        <v>5</v>
      </c>
      <c r="C4" s="10" t="s">
        <v>23</v>
      </c>
      <c r="D4" s="9" t="s">
        <v>16</v>
      </c>
      <c r="E4" s="9" t="s">
        <v>17</v>
      </c>
      <c r="F4" s="9" t="s">
        <v>18</v>
      </c>
      <c r="G4" s="9" t="s">
        <v>19</v>
      </c>
      <c r="H4" s="9" t="s">
        <v>20</v>
      </c>
      <c r="I4" s="9" t="s">
        <v>21</v>
      </c>
      <c r="J4" s="9" t="s">
        <v>22</v>
      </c>
    </row>
    <row r="5" spans="1:12" s="3" customFormat="1" x14ac:dyDescent="0.25">
      <c r="A5" s="7">
        <v>1</v>
      </c>
      <c r="B5" s="7" t="s">
        <v>6</v>
      </c>
      <c r="C5" s="7">
        <v>52</v>
      </c>
      <c r="D5" s="7">
        <v>45</v>
      </c>
      <c r="E5" s="7">
        <v>61</v>
      </c>
      <c r="F5" s="7">
        <v>55</v>
      </c>
      <c r="G5" s="7">
        <v>55</v>
      </c>
      <c r="H5" s="7">
        <f>SUM(C5:G5)</f>
        <v>268</v>
      </c>
      <c r="I5" s="7">
        <f>ROUND( AVERAGE(C5:H5),2)</f>
        <v>89.33</v>
      </c>
      <c r="J5" s="7">
        <f>(H5*100/350)</f>
        <v>76.571428571428569</v>
      </c>
    </row>
    <row r="6" spans="1:12" s="3" customFormat="1" x14ac:dyDescent="0.25">
      <c r="A6" s="7">
        <v>2</v>
      </c>
      <c r="B6" s="7" t="s">
        <v>7</v>
      </c>
      <c r="C6" s="7">
        <v>65</v>
      </c>
      <c r="D6" s="7">
        <v>41</v>
      </c>
      <c r="E6" s="7">
        <v>42</v>
      </c>
      <c r="F6" s="7">
        <v>42</v>
      </c>
      <c r="G6" s="7">
        <v>63</v>
      </c>
      <c r="H6" s="7">
        <f t="shared" ref="H6:H14" si="0">SUM(C6:G6)</f>
        <v>253</v>
      </c>
      <c r="I6" s="7">
        <f t="shared" ref="I6:I14" si="1">ROUND( AVERAGE(C6:H6),2)</f>
        <v>84.33</v>
      </c>
      <c r="J6" s="7">
        <f t="shared" ref="J6:J14" si="2">(H6*100/350)</f>
        <v>72.285714285714292</v>
      </c>
    </row>
    <row r="7" spans="1:12" s="3" customFormat="1" x14ac:dyDescent="0.25">
      <c r="A7" s="7">
        <v>3</v>
      </c>
      <c r="B7" s="7" t="s">
        <v>8</v>
      </c>
      <c r="C7" s="7">
        <v>26</v>
      </c>
      <c r="D7" s="7">
        <v>25</v>
      </c>
      <c r="E7" s="7">
        <v>53</v>
      </c>
      <c r="F7" s="7">
        <v>63</v>
      </c>
      <c r="G7" s="7">
        <v>32</v>
      </c>
      <c r="H7" s="7">
        <f t="shared" si="0"/>
        <v>199</v>
      </c>
      <c r="I7" s="7">
        <f t="shared" si="1"/>
        <v>66.33</v>
      </c>
      <c r="J7" s="7">
        <f t="shared" si="2"/>
        <v>56.857142857142854</v>
      </c>
    </row>
    <row r="8" spans="1:12" s="3" customFormat="1" x14ac:dyDescent="0.25">
      <c r="A8" s="7">
        <v>4</v>
      </c>
      <c r="B8" s="7" t="s">
        <v>9</v>
      </c>
      <c r="C8" s="7">
        <v>45</v>
      </c>
      <c r="D8" s="7">
        <v>65</v>
      </c>
      <c r="E8" s="7">
        <v>63</v>
      </c>
      <c r="F8" s="7">
        <v>22</v>
      </c>
      <c r="G8" s="7">
        <v>41</v>
      </c>
      <c r="H8" s="7">
        <f t="shared" si="0"/>
        <v>236</v>
      </c>
      <c r="I8" s="7">
        <f t="shared" si="1"/>
        <v>78.67</v>
      </c>
      <c r="J8" s="7">
        <f t="shared" si="2"/>
        <v>67.428571428571431</v>
      </c>
    </row>
    <row r="9" spans="1:12" s="3" customFormat="1" x14ac:dyDescent="0.25">
      <c r="A9" s="7">
        <v>5</v>
      </c>
      <c r="B9" s="7" t="s">
        <v>10</v>
      </c>
      <c r="C9" s="7">
        <v>66</v>
      </c>
      <c r="D9" s="7">
        <v>35</v>
      </c>
      <c r="E9" s="7">
        <v>52</v>
      </c>
      <c r="F9" s="7">
        <v>14</v>
      </c>
      <c r="G9" s="7">
        <v>54</v>
      </c>
      <c r="H9" s="7">
        <f t="shared" si="0"/>
        <v>221</v>
      </c>
      <c r="I9" s="7">
        <f t="shared" si="1"/>
        <v>73.67</v>
      </c>
      <c r="J9" s="7">
        <f t="shared" si="2"/>
        <v>63.142857142857146</v>
      </c>
    </row>
    <row r="10" spans="1:12" s="3" customFormat="1" x14ac:dyDescent="0.25">
      <c r="A10" s="7">
        <v>6</v>
      </c>
      <c r="B10" s="7" t="s">
        <v>11</v>
      </c>
      <c r="C10" s="7">
        <v>55</v>
      </c>
      <c r="D10" s="7">
        <v>26</v>
      </c>
      <c r="E10" s="7">
        <v>41</v>
      </c>
      <c r="F10" s="7">
        <v>53</v>
      </c>
      <c r="G10" s="7">
        <v>21</v>
      </c>
      <c r="H10" s="7">
        <f t="shared" si="0"/>
        <v>196</v>
      </c>
      <c r="I10" s="7">
        <f t="shared" si="1"/>
        <v>65.33</v>
      </c>
      <c r="J10" s="7">
        <f t="shared" si="2"/>
        <v>56</v>
      </c>
    </row>
    <row r="11" spans="1:12" s="3" customFormat="1" x14ac:dyDescent="0.25">
      <c r="A11" s="7">
        <v>7</v>
      </c>
      <c r="B11" s="7" t="s">
        <v>12</v>
      </c>
      <c r="C11" s="7">
        <v>45</v>
      </c>
      <c r="D11" s="7">
        <v>51</v>
      </c>
      <c r="E11" s="7">
        <v>14</v>
      </c>
      <c r="F11" s="7">
        <v>62</v>
      </c>
      <c r="G11" s="7">
        <v>56</v>
      </c>
      <c r="H11" s="7">
        <f t="shared" si="0"/>
        <v>228</v>
      </c>
      <c r="I11" s="7">
        <f t="shared" si="1"/>
        <v>76</v>
      </c>
      <c r="J11" s="7">
        <f t="shared" si="2"/>
        <v>65.142857142857139</v>
      </c>
    </row>
    <row r="12" spans="1:12" s="3" customFormat="1" x14ac:dyDescent="0.25">
      <c r="A12" s="7">
        <v>8</v>
      </c>
      <c r="B12" s="7" t="s">
        <v>13</v>
      </c>
      <c r="C12" s="7">
        <v>65</v>
      </c>
      <c r="D12" s="7">
        <v>42</v>
      </c>
      <c r="E12" s="7">
        <v>25</v>
      </c>
      <c r="F12" s="7">
        <v>45</v>
      </c>
      <c r="G12" s="7">
        <v>25</v>
      </c>
      <c r="H12" s="7">
        <f t="shared" si="0"/>
        <v>202</v>
      </c>
      <c r="I12" s="7">
        <f t="shared" si="1"/>
        <v>67.33</v>
      </c>
      <c r="J12" s="7">
        <f t="shared" si="2"/>
        <v>57.714285714285715</v>
      </c>
    </row>
    <row r="13" spans="1:12" s="3" customFormat="1" x14ac:dyDescent="0.25">
      <c r="A13" s="7">
        <v>9</v>
      </c>
      <c r="B13" s="7" t="s">
        <v>14</v>
      </c>
      <c r="C13" s="7">
        <v>36</v>
      </c>
      <c r="D13" s="7">
        <v>63</v>
      </c>
      <c r="E13" s="7">
        <v>36</v>
      </c>
      <c r="F13" s="7">
        <v>40</v>
      </c>
      <c r="G13" s="7">
        <v>32</v>
      </c>
      <c r="H13" s="7">
        <f t="shared" si="0"/>
        <v>207</v>
      </c>
      <c r="I13" s="7">
        <f t="shared" si="1"/>
        <v>69</v>
      </c>
      <c r="J13" s="7">
        <f t="shared" si="2"/>
        <v>59.142857142857146</v>
      </c>
    </row>
    <row r="14" spans="1:12" s="5" customFormat="1" ht="15.75" thickBot="1" x14ac:dyDescent="0.3">
      <c r="A14" s="7">
        <v>10</v>
      </c>
      <c r="B14" s="7" t="s">
        <v>15</v>
      </c>
      <c r="C14" s="7">
        <v>25</v>
      </c>
      <c r="D14" s="7">
        <v>14</v>
      </c>
      <c r="E14" s="7">
        <v>42</v>
      </c>
      <c r="F14" s="7">
        <v>45</v>
      </c>
      <c r="G14" s="7">
        <v>44</v>
      </c>
      <c r="H14" s="7">
        <f t="shared" si="0"/>
        <v>170</v>
      </c>
      <c r="I14" s="7">
        <f t="shared" si="1"/>
        <v>56.67</v>
      </c>
      <c r="J14" s="7">
        <f t="shared" si="2"/>
        <v>48.571428571428569</v>
      </c>
    </row>
    <row r="15" spans="1:12" x14ac:dyDescent="0.25">
      <c r="A15" t="s">
        <v>4</v>
      </c>
    </row>
    <row r="16" spans="1:12" x14ac:dyDescent="0.25">
      <c r="A16" t="s">
        <v>4</v>
      </c>
    </row>
    <row r="17" spans="1:1" x14ac:dyDescent="0.25">
      <c r="A17" t="s">
        <v>4</v>
      </c>
    </row>
    <row r="18" spans="1:1" x14ac:dyDescent="0.25">
      <c r="A18" t="s">
        <v>4</v>
      </c>
    </row>
    <row r="19" spans="1:1" x14ac:dyDescent="0.25">
      <c r="A19" t="s">
        <v>4</v>
      </c>
    </row>
    <row r="20" spans="1:1" x14ac:dyDescent="0.25">
      <c r="A20" t="s">
        <v>4</v>
      </c>
    </row>
  </sheetData>
  <mergeCells count="1">
    <mergeCell ref="A1:L1"/>
  </mergeCells>
  <phoneticPr fontId="2" type="noConversion"/>
  <pageMargins left="0.7" right="0.7" top="0.75" bottom="0.75" header="0.3" footer="0.3"/>
  <pageSetup paperSize="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computer_5b@outlook.com</dc:creator>
  <cp:lastModifiedBy>computer_5b@outlook.com</cp:lastModifiedBy>
  <dcterms:created xsi:type="dcterms:W3CDTF">2026-08-31T09:55:30Z</dcterms:created>
  <dcterms:modified xsi:type="dcterms:W3CDTF">2026-08-31T11:29:00Z</dcterms:modified>
</cp:coreProperties>
</file>